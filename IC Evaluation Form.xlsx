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ad.ahmadkhan\Desktop\IC Stream Feedback\"/>
    </mc:Choice>
  </mc:AlternateContent>
  <xr:revisionPtr revIDLastSave="0" documentId="13_ncr:1_{EEBEAEFD-F219-4D9F-8030-C6B1A5419A88}" xr6:coauthVersionLast="47" xr6:coauthVersionMax="47" xr10:uidLastSave="{00000000-0000-0000-0000-000000000000}"/>
  <bookViews>
    <workbookView xWindow="-98" yWindow="-98" windowWidth="21795" windowHeight="12975" xr2:uid="{EBDF578A-ED1B-456E-82FE-42D1736CDF77}"/>
  </bookViews>
  <sheets>
    <sheet name="Assessment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B7" i="2" s="1"/>
  <c r="E2" i="2"/>
  <c r="F2" i="2" s="1"/>
  <c r="H4" i="1"/>
  <c r="B3" i="2" s="1"/>
  <c r="H5" i="1"/>
  <c r="B4" i="2" s="1"/>
  <c r="H6" i="1"/>
  <c r="B5" i="2" s="1"/>
  <c r="H7" i="1"/>
  <c r="B6" i="2" s="1"/>
  <c r="H9" i="1"/>
  <c r="B8" i="2" s="1"/>
  <c r="H10" i="1"/>
  <c r="B9" i="2" s="1"/>
  <c r="H3" i="1"/>
  <c r="B2" i="2" s="1"/>
  <c r="D2" i="2" l="1" a="1"/>
  <c r="D2" i="2" s="1"/>
  <c r="A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<sst xmlns="http://schemas.openxmlformats.org/spreadsheetml/2006/main" count="121" uniqueCount="45">
  <si>
    <t>۱. تأثیر و دامنه اثرگذاری</t>
  </si>
  <si>
    <t>۲. حل مسئله و تفکر تحلیلی</t>
  </si>
  <si>
    <t>۳. همکاری و نفوذ</t>
  </si>
  <si>
    <t>۴. مشتری‌مداری و شناخت بازار</t>
  </si>
  <si>
    <t>۵. ارزش‌ها و فرهنگ</t>
  </si>
  <si>
    <t>۶. عمق تخصص و تسلط حرفه‌ای</t>
  </si>
  <si>
    <t>۷. نوآوری و بهبود سیستم</t>
  </si>
  <si>
    <t>۸. انتقال دانش و توسعه قابلیت‌ها</t>
  </si>
  <si>
    <t>Area</t>
  </si>
  <si>
    <t>Line Manager Evaluation</t>
  </si>
  <si>
    <t>Second Line Manager Evaluation</t>
  </si>
  <si>
    <t>HRBP</t>
  </si>
  <si>
    <t>OPD</t>
  </si>
  <si>
    <t>Stakeholder 1</t>
  </si>
  <si>
    <t>Stakeholder 2</t>
  </si>
  <si>
    <t>Final Result</t>
  </si>
  <si>
    <t>Demonstrated</t>
  </si>
  <si>
    <t>Total</t>
  </si>
  <si>
    <t>Partially Demonstrated</t>
  </si>
  <si>
    <t>Not Demonstrated</t>
  </si>
  <si>
    <t>Weight</t>
  </si>
  <si>
    <t>سطح / معیار</t>
  </si>
  <si>
    <r>
      <t xml:space="preserve">Specialist </t>
    </r>
    <r>
      <rPr>
        <b/>
        <sz val="10"/>
        <color rgb="FF000000"/>
        <rFont val="Arial"/>
        <family val="2"/>
      </rPr>
      <t>→</t>
    </r>
    <r>
      <rPr>
        <b/>
        <sz val="10"/>
        <color rgb="FF000000"/>
        <rFont val="Vazir"/>
        <family val="2"/>
      </rPr>
      <t xml:space="preserve"> Senior Specialist</t>
    </r>
  </si>
  <si>
    <r>
      <t xml:space="preserve">Senior Specialist </t>
    </r>
    <r>
      <rPr>
        <b/>
        <sz val="10"/>
        <color rgb="FF000000"/>
        <rFont val="Arial"/>
        <family val="2"/>
      </rPr>
      <t>→</t>
    </r>
    <r>
      <rPr>
        <b/>
        <sz val="10"/>
        <color rgb="FF000000"/>
        <rFont val="Vazir"/>
        <family val="2"/>
      </rPr>
      <t xml:space="preserve"> Lead Expert</t>
    </r>
  </si>
  <si>
    <r>
      <t xml:space="preserve">Lead Expert </t>
    </r>
    <r>
      <rPr>
        <b/>
        <sz val="10"/>
        <color rgb="FF000000"/>
        <rFont val="Arial"/>
        <family val="2"/>
      </rPr>
      <t>→</t>
    </r>
    <r>
      <rPr>
        <b/>
        <sz val="10"/>
        <color rgb="FF000000"/>
        <rFont val="Vazir"/>
        <family val="2"/>
      </rPr>
      <t xml:space="preserve"> Advanced Expert</t>
    </r>
  </si>
  <si>
    <r>
      <t xml:space="preserve">Advanced Expert </t>
    </r>
    <r>
      <rPr>
        <b/>
        <sz val="10"/>
        <color rgb="FF000000"/>
        <rFont val="Arial"/>
        <family val="2"/>
      </rPr>
      <t>→</t>
    </r>
    <r>
      <rPr>
        <b/>
        <sz val="10"/>
        <color rgb="FF000000"/>
        <rFont val="Vazir"/>
        <family val="2"/>
      </rPr>
      <t xml:space="preserve"> Principal</t>
    </r>
  </si>
  <si>
    <r>
      <t xml:space="preserve">Principal </t>
    </r>
    <r>
      <rPr>
        <b/>
        <sz val="10"/>
        <color rgb="FF000000"/>
        <rFont val="Arial"/>
        <family val="2"/>
      </rPr>
      <t>→</t>
    </r>
    <r>
      <rPr>
        <b/>
        <sz val="10"/>
        <color rgb="FF000000"/>
        <rFont val="Vazir"/>
        <family val="2"/>
      </rPr>
      <t xml:space="preserve"> Distinguished</t>
    </r>
  </si>
  <si>
    <t>سطح ارزیابی</t>
  </si>
  <si>
    <t>حداقل معیارهای Demonstrated</t>
  </si>
  <si>
    <t>وضعیت معیارهای Critical</t>
  </si>
  <si>
    <t>حداقل ۴ از ۸ معیار</t>
  </si>
  <si>
    <t>همه باید Demonstrated باشند</t>
  </si>
  <si>
    <t>حداقل ۶ از ۸ معیار</t>
  </si>
  <si>
    <t>حداقل ۷ از ۸ معیار</t>
  </si>
  <si>
    <t>۸ از ۸ معیار</t>
  </si>
  <si>
    <t>همه باید با شواهد شفاف Demonstrated باشند</t>
  </si>
  <si>
    <t xml:space="preserve">۸ از ۸ معیار </t>
  </si>
  <si>
    <t>همه باید با شواهد استثنایی Demonstrated باشند</t>
  </si>
  <si>
    <t>Assessment Level</t>
  </si>
  <si>
    <t>Senior Specialist</t>
  </si>
  <si>
    <t>Lead Expert</t>
  </si>
  <si>
    <t>Advanced Expert</t>
  </si>
  <si>
    <t>Principal</t>
  </si>
  <si>
    <t>Distinguished</t>
  </si>
  <si>
    <t>Levels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</si>
</sst>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Vazir"/>
      <family val="2"/>
    </font>
    <font>
      <b/>
      <sz val="10"/>
      <color rgb="FF000000"/>
      <name val="Vazir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Segoe UI Symbol"/>
      <family val="2"/>
    </font>
    <font>
      <b/>
      <sz val="11"/>
      <color rgb="FF000000"/>
      <name val="Vazir"/>
      <family val="2"/>
    </font>
  </fonts>
  <fills count="6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 vertical="center" wrapText="1" readingOrder="2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 readingOrder="2"/>
    </xf>
    <xf numFmtId="0" fontId="3" fillId="2" borderId="4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right" vertical="center" wrapText="1" readingOrder="2"/>
    </xf>
    <xf numFmtId="0" fontId="2" fillId="0" borderId="5" xfId="0" applyFont="1" applyBorder="1" applyAlignment="1">
      <alignment horizontal="right" vertical="center" wrapText="1" readingOrder="2"/>
    </xf>
    <xf numFmtId="0" fontId="3" fillId="2" borderId="4" xfId="0" applyFont="1" applyFill="1" applyBorder="1" applyAlignment="1">
      <alignment horizontal="center" vertical="center" readingOrder="2"/>
    </xf>
    <xf numFmtId="0" fontId="5" fillId="0" borderId="5" xfId="0" applyFont="1" applyBorder="1" applyAlignment="1">
      <alignment horizontal="center" vertical="center" readingOrder="2"/>
    </xf>
    <xf numFmtId="0" fontId="6" fillId="0" borderId="5" xfId="0" applyFont="1" applyBorder="1" applyAlignment="1">
      <alignment horizontal="center" vertical="center" readingOrder="2"/>
    </xf>
    <xf numFmtId="0" fontId="3" fillId="2" borderId="3" xfId="0" applyFont="1" applyFill="1" applyBorder="1" applyAlignment="1">
      <alignment horizontal="center" vertical="center" readingOrder="2"/>
    </xf>
    <xf numFmtId="0" fontId="3" fillId="2" borderId="1" xfId="0" applyFont="1" applyFill="1" applyBorder="1" applyAlignment="1">
      <alignment horizontal="right" vertical="center" readingOrder="2"/>
    </xf>
    <xf numFmtId="0" fontId="7" fillId="2" borderId="0" xfId="0" applyFont="1" applyFill="1" applyAlignment="1">
      <alignment horizontal="center" vertical="center" wrapText="1" readingOrder="2"/>
    </xf>
    <xf numFmtId="0" fontId="7" fillId="4" borderId="0" xfId="0" applyFont="1" applyFill="1" applyAlignment="1">
      <alignment horizontal="center" vertical="center" wrapText="1" readingOrder="2"/>
    </xf>
    <xf numFmtId="9" fontId="0" fillId="5" borderId="2" xfId="0" applyNumberFormat="1" applyFill="1" applyBorder="1" applyAlignment="1">
      <alignment horizontal="center" vertical="center" wrapText="1"/>
    </xf>
    <xf numFmtId="9" fontId="0" fillId="5" borderId="2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 wrapText="1" readingOrder="2"/>
    </xf>
    <xf numFmtId="0" fontId="1" fillId="5" borderId="0" xfId="0" applyFont="1" applyFill="1" applyAlignment="1">
      <alignment horizontal="center" wrapText="1"/>
    </xf>
    <xf numFmtId="0" fontId="1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54CF5-17A6-4ACD-A0A2-9B9983EECB5B}">
  <dimension ref="A1:K16"/>
  <sheetViews>
    <sheetView tabSelected="1" workbookViewId="0">
      <selection activeCell="B1" sqref="B1:G1"/>
    </sheetView>
  </sheetViews>
  <sheetFormatPr defaultRowHeight="14.25" x14ac:dyDescent="0.45"/>
  <cols>
    <col min="1" max="1" width="25.59765625" customWidth="1"/>
    <col min="2" max="3" width="11.9296875" style="8" bestFit="1" customWidth="1"/>
    <col min="4" max="7" width="11.9296875" style="2" bestFit="1" customWidth="1"/>
    <col min="8" max="8" width="12.1328125" bestFit="1" customWidth="1"/>
    <col min="11" max="11" width="0" hidden="1" customWidth="1"/>
  </cols>
  <sheetData>
    <row r="1" spans="1:11" x14ac:dyDescent="0.45">
      <c r="A1" s="22" t="s">
        <v>20</v>
      </c>
      <c r="B1" s="20">
        <v>0.1</v>
      </c>
      <c r="C1" s="20">
        <v>0.3</v>
      </c>
      <c r="D1" s="21">
        <v>0.2</v>
      </c>
      <c r="E1" s="21">
        <v>0.1</v>
      </c>
      <c r="F1" s="21">
        <v>0.15</v>
      </c>
      <c r="G1" s="21">
        <v>0.15</v>
      </c>
      <c r="H1" s="22"/>
    </row>
    <row r="2" spans="1:11" s="2" customFormat="1" ht="42.75" x14ac:dyDescent="0.45">
      <c r="A2" s="4" t="s">
        <v>8</v>
      </c>
      <c r="B2" s="5" t="s">
        <v>9</v>
      </c>
      <c r="C2" s="5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17</v>
      </c>
      <c r="K2" s="2" t="s">
        <v>16</v>
      </c>
    </row>
    <row r="3" spans="1:11" ht="28.5" x14ac:dyDescent="0.45">
      <c r="A3" s="6" t="s">
        <v>0</v>
      </c>
      <c r="B3" s="7" t="s">
        <v>18</v>
      </c>
      <c r="C3" s="7" t="s">
        <v>16</v>
      </c>
      <c r="D3" s="7" t="s">
        <v>19</v>
      </c>
      <c r="E3" s="7" t="s">
        <v>18</v>
      </c>
      <c r="F3" s="7" t="s">
        <v>18</v>
      </c>
      <c r="G3" s="7" t="s">
        <v>19</v>
      </c>
      <c r="H3" s="25" t="str">
        <f>IF((IF(B3=$K$2,$B$1,0)+IF(C3=$K$2,$C$1,0)+IF(D3=$K$2,$D$1,0)+IF(E3=$K$2,$E$1,0)+IF(F3=$K$2,$F$1,0)+IF(G3=$K$2,$G$1,0))&gt;=70%,"Demonstrated",IF((IF(B3=$K$2,$B$1,0)+IF(C3=$K$2,$C$1,0)+IF(D3=$K$2,$D$1,0)+IF(E3=$K$2,$E$1,0)+IF(F3=$K$2,$F$1,0)+IF(G3=$K$2,$G$1,0))&gt;=40%,"Partially Demonstrated","Not Demonstrated"))</f>
        <v>Not Demonstrated</v>
      </c>
      <c r="K3" t="s">
        <v>18</v>
      </c>
    </row>
    <row r="4" spans="1:11" ht="28.5" x14ac:dyDescent="0.45">
      <c r="A4" s="6" t="s">
        <v>1</v>
      </c>
      <c r="B4" s="7" t="s">
        <v>16</v>
      </c>
      <c r="C4" s="7" t="s">
        <v>18</v>
      </c>
      <c r="D4" s="7" t="s">
        <v>16</v>
      </c>
      <c r="E4" s="7" t="s">
        <v>16</v>
      </c>
      <c r="F4" s="7" t="s">
        <v>19</v>
      </c>
      <c r="G4" s="7" t="s">
        <v>16</v>
      </c>
      <c r="H4" s="25" t="str">
        <f t="shared" ref="H4:H10" si="0">IF((IF(B4=$K$2,$B$1,0)+IF(C4=$K$2,$C$1,0)+IF(D4=$K$2,$D$1,0)+IF(E4=$K$2,$E$1,0)+IF(F4=$K$2,$F$1,0)+IF(G4=$K$2,$G$1,0))&gt;=70%,"Demonstrated",IF((IF(B4=$K$2,$B$1,0)+IF(C4=$K$2,$C$1,0)+IF(D4=$K$2,$D$1,0)+IF(E4=$K$2,$E$1,0)+IF(F4=$K$2,$F$1,0)+IF(G4=$K$2,$G$1,0))&gt;=40%,"Partially Demonstrated","Not Demonstrated"))</f>
        <v>Partially Demonstrated</v>
      </c>
      <c r="K4" t="s">
        <v>19</v>
      </c>
    </row>
    <row r="5" spans="1:11" ht="16.899999999999999" x14ac:dyDescent="0.45">
      <c r="A5" s="6" t="s">
        <v>2</v>
      </c>
      <c r="B5" s="7" t="s">
        <v>16</v>
      </c>
      <c r="C5" s="7" t="s">
        <v>16</v>
      </c>
      <c r="D5" s="7" t="s">
        <v>16</v>
      </c>
      <c r="E5" s="7" t="s">
        <v>16</v>
      </c>
      <c r="F5" s="7" t="s">
        <v>16</v>
      </c>
      <c r="G5" s="7" t="s">
        <v>16</v>
      </c>
      <c r="H5" s="25" t="str">
        <f t="shared" si="0"/>
        <v>Demonstrated</v>
      </c>
    </row>
    <row r="6" spans="1:11" ht="16.899999999999999" x14ac:dyDescent="0.45">
      <c r="A6" s="6" t="s">
        <v>3</v>
      </c>
      <c r="B6" s="7" t="s">
        <v>16</v>
      </c>
      <c r="C6" s="7" t="s">
        <v>16</v>
      </c>
      <c r="D6" s="7" t="s">
        <v>16</v>
      </c>
      <c r="E6" s="7" t="s">
        <v>16</v>
      </c>
      <c r="F6" s="7" t="s">
        <v>16</v>
      </c>
      <c r="G6" s="7" t="s">
        <v>16</v>
      </c>
      <c r="H6" s="25" t="str">
        <f t="shared" si="0"/>
        <v>Demonstrated</v>
      </c>
    </row>
    <row r="7" spans="1:11" ht="16.899999999999999" x14ac:dyDescent="0.45">
      <c r="A7" s="6" t="s">
        <v>4</v>
      </c>
      <c r="B7" s="7" t="s">
        <v>16</v>
      </c>
      <c r="C7" s="7" t="s">
        <v>16</v>
      </c>
      <c r="D7" s="7" t="s">
        <v>16</v>
      </c>
      <c r="E7" s="7" t="s">
        <v>16</v>
      </c>
      <c r="F7" s="7" t="s">
        <v>16</v>
      </c>
      <c r="G7" s="7" t="s">
        <v>16</v>
      </c>
      <c r="H7" s="25" t="str">
        <f t="shared" si="0"/>
        <v>Demonstrated</v>
      </c>
    </row>
    <row r="8" spans="1:11" ht="16.899999999999999" x14ac:dyDescent="0.45">
      <c r="A8" s="6" t="s">
        <v>5</v>
      </c>
      <c r="B8" s="7" t="s">
        <v>16</v>
      </c>
      <c r="C8" s="7" t="s">
        <v>16</v>
      </c>
      <c r="D8" s="7" t="s">
        <v>16</v>
      </c>
      <c r="E8" s="7" t="s">
        <v>16</v>
      </c>
      <c r="F8" s="7" t="s">
        <v>16</v>
      </c>
      <c r="G8" s="7" t="s">
        <v>16</v>
      </c>
      <c r="H8" s="25" t="str">
        <f t="shared" si="0"/>
        <v>Demonstrated</v>
      </c>
    </row>
    <row r="9" spans="1:11" ht="16.899999999999999" x14ac:dyDescent="0.45">
      <c r="A9" s="6" t="s">
        <v>6</v>
      </c>
      <c r="B9" s="7" t="s">
        <v>16</v>
      </c>
      <c r="C9" s="7" t="s">
        <v>16</v>
      </c>
      <c r="D9" s="7" t="s">
        <v>16</v>
      </c>
      <c r="E9" s="7" t="s">
        <v>16</v>
      </c>
      <c r="F9" s="7" t="s">
        <v>16</v>
      </c>
      <c r="G9" s="7" t="s">
        <v>16</v>
      </c>
      <c r="H9" s="25" t="str">
        <f t="shared" si="0"/>
        <v>Demonstrated</v>
      </c>
    </row>
    <row r="10" spans="1:11" ht="16.899999999999999" x14ac:dyDescent="0.45">
      <c r="A10" s="6" t="s">
        <v>7</v>
      </c>
      <c r="B10" s="7" t="s">
        <v>16</v>
      </c>
      <c r="C10" s="7" t="s">
        <v>16</v>
      </c>
      <c r="D10" s="7" t="s">
        <v>16</v>
      </c>
      <c r="E10" s="7" t="s">
        <v>16</v>
      </c>
      <c r="F10" s="7" t="s">
        <v>16</v>
      </c>
      <c r="G10" s="7" t="s">
        <v>16</v>
      </c>
      <c r="H10" s="25" t="str">
        <f t="shared" si="0"/>
        <v>Demonstrated</v>
      </c>
    </row>
    <row r="12" spans="1:11" ht="20.65" customHeight="1" x14ac:dyDescent="0.45">
      <c r="A12" s="23" t="s">
        <v>38</v>
      </c>
    </row>
    <row r="13" spans="1:11" ht="16.899999999999999" customHeight="1" x14ac:dyDescent="0.45">
      <c r="A13" s="24" t="s">
        <v>40</v>
      </c>
    </row>
    <row r="15" spans="1:11" ht="18" x14ac:dyDescent="0.45">
      <c r="A15" s="18" t="s">
        <v>15</v>
      </c>
    </row>
    <row r="16" spans="1:11" ht="15.75" customHeight="1" x14ac:dyDescent="0.45">
      <c r="A16" s="19" t="str">
        <f>Sheet2!D2</f>
        <v>Reject</v>
      </c>
    </row>
  </sheetData>
  <dataValidations count="1">
    <dataValidation type="list" allowBlank="1" showInputMessage="1" showErrorMessage="1" sqref="B3:G10" xr:uid="{DA3BFE20-B7C3-4572-938F-83D84A070BD7}">
      <formula1>"Demonstrated,Partially Demonstrated,Not Demonstrated"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83B53A-95F4-41C3-977D-2C7DCAAF17F1}">
          <x14:formula1>
            <xm:f>Sheet2!$I$2:$I$6</xm:f>
          </x14:formula1>
          <xm:sqref>A13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8FC7-B3DB-42E3-94B9-D9DE1BAA058C}">
  <dimension ref="A1:I29"/>
  <sheetViews>
    <sheetView workbookViewId="0">
      <selection activeCell="D2" sqref="D2"/>
    </sheetView>
  </sheetViews>
  <sheetFormatPr defaultRowHeight="14.25" x14ac:dyDescent="0.45"/>
  <cols>
    <col min="1" max="1" width="25.33203125" customWidth="1"/>
    <col min="2" max="6" width="27.19921875" style="1" customWidth="1"/>
    <col min="9" max="9" width="13.796875" bestFit="1" customWidth="1"/>
  </cols>
  <sheetData>
    <row r="1" spans="1:9" x14ac:dyDescent="0.45">
      <c r="A1" s="4" t="s">
        <v>8</v>
      </c>
      <c r="B1" s="4" t="s">
        <v>17</v>
      </c>
      <c r="D1" s="1" t="s">
        <v>15</v>
      </c>
      <c r="E1" s="1" t="s">
        <v>38</v>
      </c>
      <c r="I1" t="s">
        <v>44</v>
      </c>
    </row>
    <row r="2" spans="1:9" ht="16.899999999999999" x14ac:dyDescent="0.45">
      <c r="A2" s="6" t="s">
        <v>0</v>
      </c>
      <c r="B2" s="1" t="str">
        <f>Assessment!H3</f>
        <v>Not Demonstrated</v>
      </c>
      <c r="D2" s="1" t="str" cm="1">
        <f t="array" ref="D2">IF($F$2="","",
IF(AND(
SUMPRODUCT((INDEX($B$12:$F$19,0,MATCH($F$2,$B$11:$F$11,0))=1)*($B$2:$B$9&lt;&gt;"Demonstrated"))=0,
COUNTIF($B$2:$B$9,"Demonstrated")&gt;=CHOOSE(MATCH($F$2,$A$25:$A$29,0),4,6,7,8,8)
),
"Confirmed","Reject"))</f>
        <v>Reject</v>
      </c>
      <c r="E2" t="str">
        <f>Assessment!A13</f>
        <v>Lead Expert</v>
      </c>
      <c r="F2" s="1" t="str">
        <f>IF(ISNUMBER(MATCH(TRIM(SUBSTITUTE($E$2,"-&gt;","→")),$B$11:$F$11,0)),
TRIM(SUBSTITUTE($E$2,"-&gt;","→")),
IFERROR(CHOOSE(MATCH(TRIM($E$2),$I$2:$I$6,0),
"Specialist → Senior Specialist",
"Senior Specialist → Lead Expert",
"Lead Expert → Advanced Expert",
"Advanced Expert → Principal",
"Principal → Distinguished"),""))</f>
        <v>Senior Specialist → Lead Expert</v>
      </c>
      <c r="I2" t="s">
        <v>39</v>
      </c>
    </row>
    <row r="3" spans="1:9" ht="16.899999999999999" x14ac:dyDescent="0.45">
      <c r="A3" s="6" t="s">
        <v>1</v>
      </c>
      <c r="B3" s="1" t="str">
        <f>Assessment!H4</f>
        <v>Partially Demonstrated</v>
      </c>
      <c r="I3" t="s">
        <v>40</v>
      </c>
    </row>
    <row r="4" spans="1:9" ht="16.899999999999999" x14ac:dyDescent="0.45">
      <c r="A4" s="6" t="s">
        <v>2</v>
      </c>
      <c r="B4" s="1" t="str">
        <f>Assessment!H5</f>
        <v>Demonstrated</v>
      </c>
      <c r="I4" t="s">
        <v>41</v>
      </c>
    </row>
    <row r="5" spans="1:9" ht="16.899999999999999" x14ac:dyDescent="0.45">
      <c r="A5" s="6" t="s">
        <v>3</v>
      </c>
      <c r="B5" s="1" t="str">
        <f>Assessment!H6</f>
        <v>Demonstrated</v>
      </c>
      <c r="I5" t="s">
        <v>42</v>
      </c>
    </row>
    <row r="6" spans="1:9" ht="16.899999999999999" x14ac:dyDescent="0.45">
      <c r="A6" s="6" t="s">
        <v>4</v>
      </c>
      <c r="B6" s="1" t="str">
        <f>Assessment!H7</f>
        <v>Demonstrated</v>
      </c>
      <c r="I6" t="s">
        <v>43</v>
      </c>
    </row>
    <row r="7" spans="1:9" ht="16.899999999999999" x14ac:dyDescent="0.45">
      <c r="A7" s="6" t="s">
        <v>5</v>
      </c>
      <c r="B7" s="1" t="str">
        <f>Assessment!H8</f>
        <v>Demonstrated</v>
      </c>
    </row>
    <row r="8" spans="1:9" ht="16.899999999999999" x14ac:dyDescent="0.45">
      <c r="A8" s="6" t="s">
        <v>6</v>
      </c>
      <c r="B8" s="1" t="str">
        <f>Assessment!H9</f>
        <v>Demonstrated</v>
      </c>
    </row>
    <row r="9" spans="1:9" ht="16.899999999999999" x14ac:dyDescent="0.45">
      <c r="A9" s="6" t="s">
        <v>7</v>
      </c>
      <c r="B9" s="1" t="str">
        <f>Assessment!H10</f>
        <v>Demonstrated</v>
      </c>
    </row>
    <row r="10" spans="1:9" ht="14.65" thickBot="1" x14ac:dyDescent="0.5"/>
    <row r="11" spans="1:9" s="3" customFormat="1" ht="17.25" thickBot="1" x14ac:dyDescent="0.5">
      <c r="A11" s="16" t="s">
        <v>21</v>
      </c>
      <c r="B11" s="13" t="s">
        <v>22</v>
      </c>
      <c r="C11" s="13" t="s">
        <v>23</v>
      </c>
      <c r="D11" s="13" t="s">
        <v>24</v>
      </c>
      <c r="E11" s="13" t="s">
        <v>25</v>
      </c>
      <c r="F11" s="13" t="s">
        <v>26</v>
      </c>
    </row>
    <row r="12" spans="1:9" s="3" customFormat="1" ht="17.25" thickBot="1" x14ac:dyDescent="0.5">
      <c r="A12" s="17" t="s">
        <v>0</v>
      </c>
      <c r="B12" s="14">
        <v>0</v>
      </c>
      <c r="C12" s="15">
        <v>1</v>
      </c>
      <c r="D12" s="15">
        <v>1</v>
      </c>
      <c r="E12" s="15">
        <v>1</v>
      </c>
      <c r="F12" s="15">
        <v>1</v>
      </c>
    </row>
    <row r="13" spans="1:9" s="3" customFormat="1" ht="17.25" thickBot="1" x14ac:dyDescent="0.5">
      <c r="A13" s="17" t="s">
        <v>1</v>
      </c>
      <c r="B13" s="15">
        <v>1</v>
      </c>
      <c r="C13" s="15">
        <v>1</v>
      </c>
      <c r="D13" s="15">
        <v>1</v>
      </c>
      <c r="E13" s="15">
        <v>1</v>
      </c>
      <c r="F13" s="15">
        <v>1</v>
      </c>
    </row>
    <row r="14" spans="1:9" s="3" customFormat="1" ht="17.25" thickBot="1" x14ac:dyDescent="0.5">
      <c r="A14" s="17" t="s">
        <v>2</v>
      </c>
      <c r="B14" s="14">
        <v>0</v>
      </c>
      <c r="C14" s="15">
        <v>1</v>
      </c>
      <c r="D14" s="15">
        <v>1</v>
      </c>
      <c r="E14" s="15">
        <v>1</v>
      </c>
      <c r="F14" s="15">
        <v>1</v>
      </c>
    </row>
    <row r="15" spans="1:9" s="3" customFormat="1" ht="17.25" thickBot="1" x14ac:dyDescent="0.5">
      <c r="A15" s="17" t="s">
        <v>3</v>
      </c>
      <c r="B15" s="14">
        <v>0</v>
      </c>
      <c r="C15" s="14">
        <v>0</v>
      </c>
      <c r="D15" s="14">
        <v>0</v>
      </c>
      <c r="E15" s="15">
        <v>1</v>
      </c>
      <c r="F15" s="15">
        <v>1</v>
      </c>
    </row>
    <row r="16" spans="1:9" s="3" customFormat="1" ht="17.25" thickBot="1" x14ac:dyDescent="0.5">
      <c r="A16" s="17" t="s">
        <v>4</v>
      </c>
      <c r="B16" s="15">
        <v>1</v>
      </c>
      <c r="C16" s="15">
        <v>1</v>
      </c>
      <c r="D16" s="15">
        <v>1</v>
      </c>
      <c r="E16" s="15">
        <v>1</v>
      </c>
      <c r="F16" s="15">
        <v>1</v>
      </c>
    </row>
    <row r="17" spans="1:6" s="3" customFormat="1" ht="17.25" thickBot="1" x14ac:dyDescent="0.5">
      <c r="A17" s="17" t="s">
        <v>5</v>
      </c>
      <c r="B17" s="15">
        <v>1</v>
      </c>
      <c r="C17" s="15">
        <v>1</v>
      </c>
      <c r="D17" s="15">
        <v>1</v>
      </c>
      <c r="E17" s="15">
        <v>1</v>
      </c>
      <c r="F17" s="15">
        <v>1</v>
      </c>
    </row>
    <row r="18" spans="1:6" s="3" customFormat="1" ht="17.25" thickBot="1" x14ac:dyDescent="0.5">
      <c r="A18" s="17" t="s">
        <v>6</v>
      </c>
      <c r="B18" s="14">
        <v>0</v>
      </c>
      <c r="C18" s="14">
        <v>0</v>
      </c>
      <c r="D18" s="15">
        <v>1</v>
      </c>
      <c r="E18" s="15">
        <v>1</v>
      </c>
      <c r="F18" s="15">
        <v>1</v>
      </c>
    </row>
    <row r="19" spans="1:6" s="3" customFormat="1" ht="17.25" thickBot="1" x14ac:dyDescent="0.5">
      <c r="A19" s="17" t="s">
        <v>7</v>
      </c>
      <c r="B19" s="14">
        <v>0</v>
      </c>
      <c r="C19" s="14">
        <v>0</v>
      </c>
      <c r="D19" s="15">
        <v>1</v>
      </c>
      <c r="E19" s="15">
        <v>1</v>
      </c>
      <c r="F19" s="15">
        <v>1</v>
      </c>
    </row>
    <row r="23" spans="1:6" ht="14.65" thickBot="1" x14ac:dyDescent="0.5"/>
    <row r="24" spans="1:6" ht="17.25" thickBot="1" x14ac:dyDescent="0.5">
      <c r="A24" s="9" t="s">
        <v>27</v>
      </c>
      <c r="B24" s="10" t="s">
        <v>28</v>
      </c>
      <c r="C24" s="10" t="s">
        <v>29</v>
      </c>
      <c r="D24"/>
      <c r="E24"/>
    </row>
    <row r="25" spans="1:6" ht="17.25" thickBot="1" x14ac:dyDescent="0.5">
      <c r="A25" s="11" t="s">
        <v>22</v>
      </c>
      <c r="B25" s="12" t="s">
        <v>30</v>
      </c>
      <c r="C25" s="12" t="s">
        <v>31</v>
      </c>
      <c r="D25"/>
      <c r="E25"/>
    </row>
    <row r="26" spans="1:6" ht="34.15" thickBot="1" x14ac:dyDescent="0.5">
      <c r="A26" s="11" t="s">
        <v>23</v>
      </c>
      <c r="B26" s="12" t="s">
        <v>32</v>
      </c>
      <c r="C26" s="12" t="s">
        <v>31</v>
      </c>
      <c r="D26"/>
      <c r="E26"/>
    </row>
    <row r="27" spans="1:6" ht="34.15" thickBot="1" x14ac:dyDescent="0.5">
      <c r="A27" s="11" t="s">
        <v>24</v>
      </c>
      <c r="B27" s="12" t="s">
        <v>33</v>
      </c>
      <c r="C27" s="12" t="s">
        <v>31</v>
      </c>
      <c r="D27"/>
      <c r="E27"/>
    </row>
    <row r="28" spans="1:6" ht="34.15" thickBot="1" x14ac:dyDescent="0.5">
      <c r="A28" s="11" t="s">
        <v>25</v>
      </c>
      <c r="B28" s="12" t="s">
        <v>34</v>
      </c>
      <c r="C28" s="12" t="s">
        <v>35</v>
      </c>
      <c r="D28"/>
      <c r="E28"/>
    </row>
    <row r="29" spans="1:6" ht="34.15" thickBot="1" x14ac:dyDescent="0.5">
      <c r="A29" s="11" t="s">
        <v>26</v>
      </c>
      <c r="B29" s="12" t="s">
        <v>36</v>
      </c>
      <c r="C29" s="12" t="s">
        <v>37</v>
      </c>
      <c r="D29"/>
      <c r="E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Assessment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Milad Ahmadkhan</dc:creator>
  <cp:lastModifiedBy>Milad Ahmadkhan</cp:lastModifiedBy>
  <dcterms:created xsi:type="dcterms:W3CDTF">2025-12-17T08:39:01Z</dcterms:created>
  <dcterms:modified xsi:type="dcterms:W3CDTF">2025-12-23T09:24:09Z</dcterms:modified>
</cp:coreProperties>
</file>